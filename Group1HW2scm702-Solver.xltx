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16"/>
  <workbookPr/>
  <mc:AlternateContent xmlns:mc="http://schemas.openxmlformats.org/markup-compatibility/2006">
    <mc:Choice Requires="x15">
      <x15ac:absPath xmlns:x15ac="http://schemas.microsoft.com/office/spreadsheetml/2010/11/ac" url="/Users/kristanrodriguez/Desktop/"/>
    </mc:Choice>
  </mc:AlternateContent>
  <xr:revisionPtr revIDLastSave="0" documentId="8_{127F2666-6619-2442-8A7F-AB6A75F37D30}" xr6:coauthVersionLast="47" xr6:coauthVersionMax="47" xr10:uidLastSave="{00000000-0000-0000-0000-000000000000}"/>
  <bookViews>
    <workbookView xWindow="-36780" yWindow="-420" windowWidth="24900" windowHeight="16460" activeTab="2" xr2:uid="{00000000-000D-0000-FFFF-FFFF00000000}"/>
  </bookViews>
  <sheets>
    <sheet name="Answer Report 1" sheetId="18" r:id="rId1"/>
    <sheet name="Sensitivity Report 1" sheetId="19" r:id="rId2"/>
    <sheet name="Model Setup" sheetId="1" r:id="rId3"/>
  </sheets>
  <definedNames>
    <definedName name="changecolor">[0]!changecolor</definedName>
    <definedName name="color_CANCEL">[0]!color_CANCEL</definedName>
    <definedName name="color_DEFAULT">[0]!color_DEFAULT</definedName>
    <definedName name="color_OK">[0]!color_OK</definedName>
    <definedName name="colorlist_change">[0]!colorlist_change</definedName>
    <definedName name="HTML_CodePage" hidden="1">1252</definedName>
    <definedName name="HTML_Control" hidden="1">{"'Builds'!$B$72:$D$199"}</definedName>
    <definedName name="HTML_Description" hidden="1">""</definedName>
    <definedName name="HTML_Email" hidden="1">"hweiss@sbm.temple.edu"</definedName>
    <definedName name="HTML_Header" hidden="1">"Builds"</definedName>
    <definedName name="HTML_LastUpdate" hidden="1">"3/14/2000"</definedName>
    <definedName name="HTML_LineAfter" hidden="1">FALSE</definedName>
    <definedName name="HTML_LineBefore" hidden="1">FALSE</definedName>
    <definedName name="HTML_Name" hidden="1">"Howard Weiss"</definedName>
    <definedName name="HTML_OBDlg2" hidden="1">TRUE</definedName>
    <definedName name="HTML_OBDlg4" hidden="1">TRUE</definedName>
    <definedName name="HTML_OS" hidden="1">0</definedName>
    <definedName name="HTML_PathFile" hidden="1">"n:\upgrades.ph.html"</definedName>
    <definedName name="HTML_Title" hidden="1">"Version2"</definedName>
    <definedName name="solver_adj" localSheetId="2" hidden="1">'Model Setup'!$C$22:$F$24</definedName>
    <definedName name="solver_cvg" localSheetId="2" hidden="1">0.0001</definedName>
    <definedName name="solver_drv" localSheetId="2" hidden="1">1</definedName>
    <definedName name="solver_eng" localSheetId="2" hidden="1">2</definedName>
    <definedName name="solver_est" localSheetId="2" hidden="1">1</definedName>
    <definedName name="solver_itr" localSheetId="2" hidden="1">2147483647</definedName>
    <definedName name="solver_lhs1" localSheetId="2" hidden="1">'Model Setup'!$C$26</definedName>
    <definedName name="solver_lhs10" localSheetId="2" hidden="1">'Model Setup'!$F$26</definedName>
    <definedName name="solver_lhs11" localSheetId="2" hidden="1">'Model Setup'!$F$28</definedName>
    <definedName name="solver_lhs12" localSheetId="2" hidden="1">'Model Setup'!$F$30</definedName>
    <definedName name="solver_lhs13" localSheetId="2" hidden="1">'Model Setup'!$H$22</definedName>
    <definedName name="solver_lhs14" localSheetId="2" hidden="1">'Model Setup'!$H$23</definedName>
    <definedName name="solver_lhs15" localSheetId="2" hidden="1">'Model Setup'!$H$24</definedName>
    <definedName name="solver_lhs2" localSheetId="2" hidden="1">'Model Setup'!$C$28</definedName>
    <definedName name="solver_lhs3" localSheetId="2" hidden="1">'Model Setup'!$C$30</definedName>
    <definedName name="solver_lhs4" localSheetId="2" hidden="1">'Model Setup'!$D$26</definedName>
    <definedName name="solver_lhs5" localSheetId="2" hidden="1">'Model Setup'!$D$28</definedName>
    <definedName name="solver_lhs6" localSheetId="2" hidden="1">'Model Setup'!$D$30</definedName>
    <definedName name="solver_lhs7" localSheetId="2" hidden="1">'Model Setup'!$E$26</definedName>
    <definedName name="solver_lhs8" localSheetId="2" hidden="1">'Model Setup'!$E$28</definedName>
    <definedName name="solver_lhs9" localSheetId="2" hidden="1">'Model Setup'!$E$30</definedName>
    <definedName name="solver_lin" localSheetId="2" hidden="1">1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15</definedName>
    <definedName name="solver_nwt" localSheetId="2" hidden="1">1</definedName>
    <definedName name="solver_opt" localSheetId="2" hidden="1">'Model Setup'!$F$1</definedName>
    <definedName name="solver_pre" localSheetId="2" hidden="1">0.000001</definedName>
    <definedName name="solver_rbv" localSheetId="2" hidden="1">1</definedName>
    <definedName name="solver_rel1" localSheetId="2" hidden="1">2</definedName>
    <definedName name="solver_rel10" localSheetId="2" hidden="1">2</definedName>
    <definedName name="solver_rel11" localSheetId="2" hidden="1">1</definedName>
    <definedName name="solver_rel12" localSheetId="2" hidden="1">1</definedName>
    <definedName name="solver_rel13" localSheetId="2" hidden="1">1</definedName>
    <definedName name="solver_rel14" localSheetId="2" hidden="1">1</definedName>
    <definedName name="solver_rel15" localSheetId="2" hidden="1">1</definedName>
    <definedName name="solver_rel2" localSheetId="2" hidden="1">1</definedName>
    <definedName name="solver_rel3" localSheetId="2" hidden="1">1</definedName>
    <definedName name="solver_rel4" localSheetId="2" hidden="1">2</definedName>
    <definedName name="solver_rel5" localSheetId="2" hidden="1">1</definedName>
    <definedName name="solver_rel6" localSheetId="2" hidden="1">1</definedName>
    <definedName name="solver_rel7" localSheetId="2" hidden="1">2</definedName>
    <definedName name="solver_rel8" localSheetId="2" hidden="1">1</definedName>
    <definedName name="solver_rel9" localSheetId="2" hidden="1">1</definedName>
    <definedName name="solver_rhs1" localSheetId="2" hidden="1">'Model Setup'!$C$25</definedName>
    <definedName name="solver_rhs10" localSheetId="2" hidden="1">'Model Setup'!$F$25</definedName>
    <definedName name="solver_rhs11" localSheetId="2" hidden="1">'Model Setup'!$F$27</definedName>
    <definedName name="solver_rhs12" localSheetId="2" hidden="1">'Model Setup'!$F$29</definedName>
    <definedName name="solver_rhs13" localSheetId="2" hidden="1">'Model Setup'!$G$22</definedName>
    <definedName name="solver_rhs14" localSheetId="2" hidden="1">'Model Setup'!$G$23</definedName>
    <definedName name="solver_rhs15" localSheetId="2" hidden="1">'Model Setup'!$G$24</definedName>
    <definedName name="solver_rhs2" localSheetId="2" hidden="1">'Model Setup'!$C$27</definedName>
    <definedName name="solver_rhs3" localSheetId="2" hidden="1">'Model Setup'!$C$29</definedName>
    <definedName name="solver_rhs4" localSheetId="2" hidden="1">'Model Setup'!$D$25</definedName>
    <definedName name="solver_rhs5" localSheetId="2" hidden="1">'Model Setup'!$D$27</definedName>
    <definedName name="solver_rhs6" localSheetId="2" hidden="1">'Model Setup'!$D$29</definedName>
    <definedName name="solver_rhs7" localSheetId="2" hidden="1">'Model Setup'!$E$25</definedName>
    <definedName name="solver_rhs8" localSheetId="2" hidden="1">'Model Setup'!$E$27</definedName>
    <definedName name="solver_rhs9" localSheetId="2" hidden="1">'Model Setup'!$E$29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7" i="1" l="1"/>
  <c r="E27" i="1"/>
  <c r="E26" i="1"/>
  <c r="C26" i="1"/>
  <c r="F30" i="1"/>
  <c r="E30" i="1"/>
  <c r="D30" i="1"/>
  <c r="C30" i="1"/>
  <c r="F29" i="1"/>
  <c r="E29" i="1"/>
  <c r="D29" i="1"/>
  <c r="C29" i="1"/>
  <c r="D26" i="1"/>
  <c r="C27" i="1"/>
  <c r="F28" i="1"/>
  <c r="E28" i="1"/>
  <c r="D28" i="1"/>
  <c r="F27" i="1"/>
  <c r="F26" i="1"/>
  <c r="C28" i="1"/>
  <c r="H24" i="1"/>
  <c r="H23" i="1"/>
  <c r="H22" i="1"/>
  <c r="C32" i="1"/>
  <c r="F1" i="1"/>
  <c r="F16" i="1"/>
  <c r="E16" i="1"/>
  <c r="D16" i="1"/>
  <c r="C16" i="1"/>
  <c r="F15" i="1"/>
  <c r="E15" i="1"/>
  <c r="D15" i="1"/>
  <c r="C15" i="1"/>
  <c r="F14" i="1"/>
  <c r="E14" i="1"/>
  <c r="D14" i="1"/>
  <c r="C14" i="1"/>
</calcChain>
</file>

<file path=xl/sharedStrings.xml><?xml version="1.0" encoding="utf-8"?>
<sst xmlns="http://schemas.openxmlformats.org/spreadsheetml/2006/main" count="186" uniqueCount="115">
  <si>
    <t>Store</t>
  </si>
  <si>
    <t>Constraint</t>
  </si>
  <si>
    <t>Constraints</t>
  </si>
  <si>
    <t>Demand Constraints</t>
  </si>
  <si>
    <t xml:space="preserve">           </t>
  </si>
  <si>
    <t>Variable Cells</t>
  </si>
  <si>
    <t>Cell</t>
  </si>
  <si>
    <t>Name</t>
  </si>
  <si>
    <t>Final</t>
  </si>
  <si>
    <t>Value</t>
  </si>
  <si>
    <t>Reduced</t>
  </si>
  <si>
    <t>Cost</t>
  </si>
  <si>
    <t>Objective</t>
  </si>
  <si>
    <t>Coefficient</t>
  </si>
  <si>
    <t>Allowable</t>
  </si>
  <si>
    <t>Increase</t>
  </si>
  <si>
    <t>Decrease</t>
  </si>
  <si>
    <t>Shadow</t>
  </si>
  <si>
    <t>Price</t>
  </si>
  <si>
    <t>R.H. Side</t>
  </si>
  <si>
    <t>$C$11</t>
  </si>
  <si>
    <t xml:space="preserve">     Cincinnati New York</t>
  </si>
  <si>
    <t>$D$11</t>
  </si>
  <si>
    <t xml:space="preserve">     Cincinnati Dallas</t>
  </si>
  <si>
    <t>$E$11</t>
  </si>
  <si>
    <t xml:space="preserve">     Cincinnati Detroit</t>
  </si>
  <si>
    <t>$C$12</t>
  </si>
  <si>
    <t>Atlanta New York</t>
  </si>
  <si>
    <t>$D$12</t>
  </si>
  <si>
    <t>Atlanta Dallas</t>
  </si>
  <si>
    <t>$E$12</t>
  </si>
  <si>
    <t>Atlanta Detroit</t>
  </si>
  <si>
    <t>$C$13</t>
  </si>
  <si>
    <t xml:space="preserve">                Pittsburgh New York</t>
  </si>
  <si>
    <t>$D$13</t>
  </si>
  <si>
    <t xml:space="preserve">                Pittsburgh Dallas</t>
  </si>
  <si>
    <t>$E$13</t>
  </si>
  <si>
    <t xml:space="preserve">                Pittsburgh Detroit</t>
  </si>
  <si>
    <t>$C$14</t>
  </si>
  <si>
    <t>Received New York</t>
  </si>
  <si>
    <t>$D$14</t>
  </si>
  <si>
    <t>Received Dallas</t>
  </si>
  <si>
    <t>$E$14</t>
  </si>
  <si>
    <t>Received Detroit</t>
  </si>
  <si>
    <t>$F$11</t>
  </si>
  <si>
    <t xml:space="preserve">     Cincinnati Shipped</t>
  </si>
  <si>
    <t>$F$12</t>
  </si>
  <si>
    <t>Atlanta Shipped</t>
  </si>
  <si>
    <t>$F$13</t>
  </si>
  <si>
    <t xml:space="preserve">                Pittsburgh Shipped</t>
  </si>
  <si>
    <t>Microsoft Excel 16.43 Answer Report</t>
  </si>
  <si>
    <t>Worksheet: [Ch4_transportation example_RL.xlsx]Solver</t>
  </si>
  <si>
    <t>Report Created: 3/14/21 5:47:34 PM</t>
  </si>
  <si>
    <t>Result: Solver found a solution.  All constraints and optimality conditions are satisfied.</t>
  </si>
  <si>
    <t>Solver Engine</t>
  </si>
  <si>
    <t>Engine: Simplex LP</t>
  </si>
  <si>
    <t>Solution Time: 180389349.536 Seconds.</t>
  </si>
  <si>
    <t>Iterations: 10 Subproblems: 0</t>
  </si>
  <si>
    <t>Solver Options</t>
  </si>
  <si>
    <t>Max Time 100 sec, Iterations 100, Precision 0.1</t>
  </si>
  <si>
    <t>Max Subproblems Unlimited, Max Integer Sols Unlimited, Integer Tolerance 5%, Solve Without Integer Constraints, Assume NonNegative</t>
  </si>
  <si>
    <t>Objective Cell (Min)</t>
  </si>
  <si>
    <t>Original Value</t>
  </si>
  <si>
    <t>Final Value</t>
  </si>
  <si>
    <t>Integer</t>
  </si>
  <si>
    <t>Cell Value</t>
  </si>
  <si>
    <t>Formula</t>
  </si>
  <si>
    <t>Status</t>
  </si>
  <si>
    <t>Slack</t>
  </si>
  <si>
    <t>$C$17</t>
  </si>
  <si>
    <t xml:space="preserve">  Cost = $ =</t>
  </si>
  <si>
    <t>Contin</t>
  </si>
  <si>
    <t>$C$14=$C$16</t>
  </si>
  <si>
    <t>Binding</t>
  </si>
  <si>
    <t>$D$14=$D$16</t>
  </si>
  <si>
    <t>$E$14=$E$16</t>
  </si>
  <si>
    <t>$F$11&lt;=$H$11</t>
  </si>
  <si>
    <t>Not Binding</t>
  </si>
  <si>
    <t>$F$12&lt;=$H$12</t>
  </si>
  <si>
    <t>$F$13&lt;=$H$13</t>
  </si>
  <si>
    <t>Microsoft Excel 16.43 Sensitivity Report</t>
  </si>
  <si>
    <t>Mine</t>
  </si>
  <si>
    <t>A</t>
  </si>
  <si>
    <t>B</t>
  </si>
  <si>
    <t>C</t>
  </si>
  <si>
    <t>D</t>
  </si>
  <si>
    <t>Plant</t>
  </si>
  <si>
    <t>Mine plant solution</t>
  </si>
  <si>
    <t>Unit Prod. Cost</t>
  </si>
  <si>
    <t>Ash Limit%</t>
  </si>
  <si>
    <t>Sulfur limit%</t>
  </si>
  <si>
    <t>Plant Demand</t>
  </si>
  <si>
    <t>Ash%</t>
  </si>
  <si>
    <t>Sulfur%</t>
  </si>
  <si>
    <t>mine Capacity</t>
  </si>
  <si>
    <t>Unit cost of Mine Production + Shipment from Mine Plants</t>
  </si>
  <si>
    <t>Plant 1</t>
  </si>
  <si>
    <t>Plant 2</t>
  </si>
  <si>
    <t>Plant 3</t>
  </si>
  <si>
    <t>Plant 4</t>
  </si>
  <si>
    <t>Mine 1</t>
  </si>
  <si>
    <t>Mine 2</t>
  </si>
  <si>
    <t>Mine 3</t>
  </si>
  <si>
    <t>Coal shipping quantity</t>
  </si>
  <si>
    <t xml:space="preserve"> Constraints</t>
  </si>
  <si>
    <t>Mine capacity (RHS)</t>
  </si>
  <si>
    <t>Produced (LHS)</t>
  </si>
  <si>
    <t>Plant Demand (RHS</t>
  </si>
  <si>
    <t>Received (LHS</t>
  </si>
  <si>
    <t>Plant Ash limit (RHS)</t>
  </si>
  <si>
    <t>total Ash (LHS)</t>
  </si>
  <si>
    <t>Plant Sulfur limit (RHS)</t>
  </si>
  <si>
    <t>Total Sulfur (LHS)</t>
  </si>
  <si>
    <t xml:space="preserve">objective function: </t>
  </si>
  <si>
    <t>total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</si>
</sst>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b/>
      <sz val="10"/>
      <color indexed="1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/>
      <bottom style="medium">
        <color indexed="23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0" xfId="0" applyFont="1" applyAlignment="1">
      <alignment horizontal="center"/>
    </xf>
    <xf numFmtId="0" fontId="0" fillId="0" borderId="2" xfId="0" applyBorder="1"/>
    <xf numFmtId="0" fontId="0" fillId="0" borderId="3" xfId="0" applyBorder="1"/>
    <xf numFmtId="0" fontId="5" fillId="0" borderId="5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4" fillId="0" borderId="0" xfId="0" applyFont="1" applyAlignment="1">
      <alignment horizontal="right"/>
    </xf>
    <xf numFmtId="0" fontId="4" fillId="0" borderId="6" xfId="0" applyFont="1" applyBorder="1" applyAlignment="1">
      <alignment horizontal="center"/>
    </xf>
    <xf numFmtId="9" fontId="0" fillId="0" borderId="6" xfId="0" applyNumberFormat="1" applyBorder="1"/>
    <xf numFmtId="0" fontId="0" fillId="0" borderId="6" xfId="0" applyBorder="1"/>
    <xf numFmtId="0" fontId="0" fillId="0" borderId="6" xfId="0" applyFill="1" applyBorder="1" applyAlignment="1">
      <alignment horizontal="center"/>
    </xf>
    <xf numFmtId="9" fontId="4" fillId="0" borderId="6" xfId="0" applyNumberFormat="1" applyFont="1" applyBorder="1"/>
    <xf numFmtId="0" fontId="4" fillId="0" borderId="7" xfId="0" applyFont="1" applyBorder="1" applyAlignment="1">
      <alignment horizontal="center"/>
    </xf>
    <xf numFmtId="38" fontId="0" fillId="0" borderId="7" xfId="0" applyNumberForma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6" fontId="0" fillId="0" borderId="6" xfId="0" applyNumberFormat="1" applyBorder="1" applyAlignment="1">
      <alignment horizontal="center"/>
    </xf>
    <xf numFmtId="6" fontId="0" fillId="0" borderId="6" xfId="0" applyNumberFormat="1" applyBorder="1"/>
    <xf numFmtId="0" fontId="0" fillId="0" borderId="6" xfId="0" applyBorder="1" applyAlignment="1">
      <alignment horizontal="center"/>
    </xf>
    <xf numFmtId="9" fontId="0" fillId="0" borderId="6" xfId="0" applyNumberFormat="1" applyBorder="1" applyAlignment="1">
      <alignment horizontal="center"/>
    </xf>
    <xf numFmtId="9" fontId="0" fillId="0" borderId="6" xfId="0" applyNumberForma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6" xfId="0" applyFont="1" applyFill="1" applyBorder="1" applyAlignment="1">
      <alignment horizontal="center"/>
    </xf>
    <xf numFmtId="6" fontId="0" fillId="0" borderId="6" xfId="0" applyNumberFormat="1" applyFill="1" applyBorder="1" applyAlignment="1">
      <alignment horizontal="center"/>
    </xf>
    <xf numFmtId="0" fontId="4" fillId="0" borderId="6" xfId="0" applyFont="1" applyBorder="1" applyAlignment="1">
      <alignment horizontal="right"/>
    </xf>
    <xf numFmtId="0" fontId="0" fillId="0" borderId="0" xfId="0" applyFont="1" applyFill="1" applyBorder="1" applyAlignment="1">
      <alignment horizontal="right"/>
    </xf>
    <xf numFmtId="0" fontId="0" fillId="2" borderId="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2" fillId="0" borderId="6" xfId="0" applyFont="1" applyBorder="1" applyAlignment="1">
      <alignment horizontal="right"/>
    </xf>
    <xf numFmtId="0" fontId="3" fillId="0" borderId="6" xfId="0" applyFont="1" applyBorder="1" applyAlignment="1">
      <alignment horizontal="center"/>
    </xf>
    <xf numFmtId="0" fontId="2" fillId="0" borderId="6" xfId="0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0" fontId="0" fillId="0" borderId="9" xfId="0" applyBorder="1" applyAlignment="1">
      <alignment horizontal="center"/>
    </xf>
    <xf numFmtId="0" fontId="0" fillId="0" borderId="9" xfId="0" applyFill="1" applyBorder="1" applyAlignment="1">
      <alignment horizontal="center"/>
    </xf>
    <xf numFmtId="9" fontId="0" fillId="0" borderId="8" xfId="0" applyNumberFormat="1" applyBorder="1" applyAlignment="1">
      <alignment horizontal="center"/>
    </xf>
    <xf numFmtId="9" fontId="0" fillId="0" borderId="8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15957</xdr:colOff>
      <xdr:row>0</xdr:row>
      <xdr:rowOff>101600</xdr:rowOff>
    </xdr:from>
    <xdr:to>
      <xdr:col>14</xdr:col>
      <xdr:colOff>143933</xdr:colOff>
      <xdr:row>26</xdr:row>
      <xdr:rowOff>5862</xdr:rowOff>
    </xdr:to>
    <xdr:sp macro="" textlink="">
      <xdr:nvSpPr>
        <xdr:cNvPr id="1025" name="Text Box 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 txBox="1">
          <a:spLocks noChangeArrowheads="1"/>
        </xdr:cNvSpPr>
      </xdr:nvSpPr>
      <xdr:spPr bwMode="auto">
        <a:xfrm>
          <a:off x="7796824" y="101600"/>
          <a:ext cx="2159976" cy="24611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Minimize 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Z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= 69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1A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+ 71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1B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+ 72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1C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+ 74x1D +76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2A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+ 71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2B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+ 72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2C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+79x2D+ 86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3A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+89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3B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+ 80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3C</a:t>
          </a: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 +82x3D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subject to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1A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+ 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1B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+ 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1C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&lt;= 300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2A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+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 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2B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+ 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2C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&lt;= 200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3A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+ 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3B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+ 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3C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&lt;= 200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1A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+ 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2A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+ 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3A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= 150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1B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+ 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2B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+ 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3B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= 250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1C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+ 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2C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+ 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3C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= 200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           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000" b="0" i="0" strike="noStrike" baseline="-25000">
              <a:solidFill>
                <a:srgbClr val="000000"/>
              </a:solidFill>
              <a:latin typeface="Arial"/>
              <a:cs typeface="Arial"/>
            </a:rPr>
            <a:t>ij 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&gt;= 0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09E01-F57B-B54F-BD51-483A553E4C17}">
  <dimension ref="A1:G39"/>
  <sheetViews>
    <sheetView showGridLines="0" workbookViewId="0"/>
  </sheetViews>
  <sheetFormatPr baseColWidth="10" defaultRowHeight="13" x14ac:dyDescent="0.15"/>
  <cols>
    <col min="1" max="1" width="2.33203125" customWidth="1"/>
    <col min="2" max="2" width="6.33203125" bestFit="1" customWidth="1"/>
    <col min="3" max="3" width="25.1640625" bestFit="1" customWidth="1"/>
    <col min="4" max="4" width="12.83203125" bestFit="1" customWidth="1"/>
    <col min="5" max="5" width="13.33203125" bestFit="1" customWidth="1"/>
    <col min="6" max="6" width="10.1640625" bestFit="1" customWidth="1"/>
    <col min="7" max="7" width="5.83203125" bestFit="1" customWidth="1"/>
  </cols>
  <sheetData>
    <row r="1" spans="1:5" x14ac:dyDescent="0.15">
      <c r="A1" s="1" t="s">
        <v>50</v>
      </c>
    </row>
    <row r="2" spans="1:5" x14ac:dyDescent="0.15">
      <c r="A2" s="1" t="s">
        <v>51</v>
      </c>
    </row>
    <row r="3" spans="1:5" x14ac:dyDescent="0.15">
      <c r="A3" s="1" t="s">
        <v>52</v>
      </c>
    </row>
    <row r="4" spans="1:5" x14ac:dyDescent="0.15">
      <c r="A4" s="1" t="s">
        <v>53</v>
      </c>
    </row>
    <row r="5" spans="1:5" x14ac:dyDescent="0.15">
      <c r="A5" s="1" t="s">
        <v>54</v>
      </c>
    </row>
    <row r="6" spans="1:5" x14ac:dyDescent="0.15">
      <c r="A6" s="1"/>
      <c r="B6" t="s">
        <v>55</v>
      </c>
    </row>
    <row r="7" spans="1:5" x14ac:dyDescent="0.15">
      <c r="A7" s="1"/>
      <c r="B7" t="s">
        <v>56</v>
      </c>
    </row>
    <row r="8" spans="1:5" x14ac:dyDescent="0.15">
      <c r="A8" s="1"/>
      <c r="B8" t="s">
        <v>57</v>
      </c>
    </row>
    <row r="9" spans="1:5" x14ac:dyDescent="0.15">
      <c r="A9" s="1" t="s">
        <v>58</v>
      </c>
    </row>
    <row r="10" spans="1:5" x14ac:dyDescent="0.15">
      <c r="B10" t="s">
        <v>59</v>
      </c>
    </row>
    <row r="11" spans="1:5" x14ac:dyDescent="0.15">
      <c r="B11" t="s">
        <v>60</v>
      </c>
    </row>
    <row r="14" spans="1:5" ht="14" thickBot="1" x14ac:dyDescent="0.2">
      <c r="A14" t="s">
        <v>61</v>
      </c>
    </row>
    <row r="15" spans="1:5" ht="14" thickBot="1" x14ac:dyDescent="0.2">
      <c r="B15" s="13" t="s">
        <v>6</v>
      </c>
      <c r="C15" s="13" t="s">
        <v>7</v>
      </c>
      <c r="D15" s="13" t="s">
        <v>62</v>
      </c>
      <c r="E15" s="13" t="s">
        <v>63</v>
      </c>
    </row>
    <row r="16" spans="1:5" ht="14" thickBot="1" x14ac:dyDescent="0.2">
      <c r="B16" s="12" t="s">
        <v>69</v>
      </c>
      <c r="C16" s="12" t="s">
        <v>70</v>
      </c>
      <c r="D16" s="12">
        <v>0</v>
      </c>
      <c r="E16" s="12">
        <v>7300</v>
      </c>
    </row>
    <row r="19" spans="1:6" ht="14" thickBot="1" x14ac:dyDescent="0.2">
      <c r="A19" t="s">
        <v>5</v>
      </c>
    </row>
    <row r="20" spans="1:6" ht="14" thickBot="1" x14ac:dyDescent="0.2">
      <c r="B20" s="13" t="s">
        <v>6</v>
      </c>
      <c r="C20" s="13" t="s">
        <v>7</v>
      </c>
      <c r="D20" s="13" t="s">
        <v>62</v>
      </c>
      <c r="E20" s="13" t="s">
        <v>63</v>
      </c>
      <c r="F20" s="13" t="s">
        <v>64</v>
      </c>
    </row>
    <row r="21" spans="1:6" x14ac:dyDescent="0.15">
      <c r="B21" s="11" t="s">
        <v>20</v>
      </c>
      <c r="C21" s="11" t="s">
        <v>21</v>
      </c>
      <c r="D21" s="11">
        <v>0</v>
      </c>
      <c r="E21" s="11">
        <v>0</v>
      </c>
      <c r="F21" s="11" t="s">
        <v>71</v>
      </c>
    </row>
    <row r="22" spans="1:6" x14ac:dyDescent="0.15">
      <c r="B22" s="11" t="s">
        <v>22</v>
      </c>
      <c r="C22" s="11" t="s">
        <v>23</v>
      </c>
      <c r="D22" s="11">
        <v>0</v>
      </c>
      <c r="E22" s="11">
        <v>0</v>
      </c>
      <c r="F22" s="11" t="s">
        <v>71</v>
      </c>
    </row>
    <row r="23" spans="1:6" x14ac:dyDescent="0.15">
      <c r="B23" s="11" t="s">
        <v>24</v>
      </c>
      <c r="C23" s="11" t="s">
        <v>25</v>
      </c>
      <c r="D23" s="11">
        <v>0</v>
      </c>
      <c r="E23" s="11">
        <v>200</v>
      </c>
      <c r="F23" s="11" t="s">
        <v>71</v>
      </c>
    </row>
    <row r="24" spans="1:6" x14ac:dyDescent="0.15">
      <c r="B24" s="11" t="s">
        <v>26</v>
      </c>
      <c r="C24" s="11" t="s">
        <v>27</v>
      </c>
      <c r="D24" s="11">
        <v>0</v>
      </c>
      <c r="E24" s="11">
        <v>0</v>
      </c>
      <c r="F24" s="11" t="s">
        <v>71</v>
      </c>
    </row>
    <row r="25" spans="1:6" x14ac:dyDescent="0.15">
      <c r="B25" s="11" t="s">
        <v>28</v>
      </c>
      <c r="C25" s="11" t="s">
        <v>29</v>
      </c>
      <c r="D25" s="11">
        <v>0</v>
      </c>
      <c r="E25" s="11">
        <v>200</v>
      </c>
      <c r="F25" s="11" t="s">
        <v>71</v>
      </c>
    </row>
    <row r="26" spans="1:6" x14ac:dyDescent="0.15">
      <c r="B26" s="11" t="s">
        <v>30</v>
      </c>
      <c r="C26" s="11" t="s">
        <v>31</v>
      </c>
      <c r="D26" s="11">
        <v>0</v>
      </c>
      <c r="E26" s="11">
        <v>0</v>
      </c>
      <c r="F26" s="11" t="s">
        <v>71</v>
      </c>
    </row>
    <row r="27" spans="1:6" x14ac:dyDescent="0.15">
      <c r="B27" s="11" t="s">
        <v>32</v>
      </c>
      <c r="C27" s="11" t="s">
        <v>33</v>
      </c>
      <c r="D27" s="11">
        <v>0</v>
      </c>
      <c r="E27" s="11">
        <v>150</v>
      </c>
      <c r="F27" s="11" t="s">
        <v>71</v>
      </c>
    </row>
    <row r="28" spans="1:6" x14ac:dyDescent="0.15">
      <c r="B28" s="11" t="s">
        <v>34</v>
      </c>
      <c r="C28" s="11" t="s">
        <v>35</v>
      </c>
      <c r="D28" s="11">
        <v>0</v>
      </c>
      <c r="E28" s="11">
        <v>50</v>
      </c>
      <c r="F28" s="11" t="s">
        <v>71</v>
      </c>
    </row>
    <row r="29" spans="1:6" ht="14" thickBot="1" x14ac:dyDescent="0.2">
      <c r="B29" s="12" t="s">
        <v>36</v>
      </c>
      <c r="C29" s="12" t="s">
        <v>37</v>
      </c>
      <c r="D29" s="12">
        <v>0</v>
      </c>
      <c r="E29" s="12">
        <v>0</v>
      </c>
      <c r="F29" s="12" t="s">
        <v>71</v>
      </c>
    </row>
    <row r="32" spans="1:6" ht="14" thickBot="1" x14ac:dyDescent="0.2">
      <c r="A32" t="s">
        <v>2</v>
      </c>
    </row>
    <row r="33" spans="2:7" ht="14" thickBot="1" x14ac:dyDescent="0.2">
      <c r="B33" s="13" t="s">
        <v>6</v>
      </c>
      <c r="C33" s="13" t="s">
        <v>7</v>
      </c>
      <c r="D33" s="13" t="s">
        <v>65</v>
      </c>
      <c r="E33" s="13" t="s">
        <v>66</v>
      </c>
      <c r="F33" s="13" t="s">
        <v>67</v>
      </c>
      <c r="G33" s="13" t="s">
        <v>68</v>
      </c>
    </row>
    <row r="34" spans="2:7" x14ac:dyDescent="0.15">
      <c r="B34" s="11" t="s">
        <v>38</v>
      </c>
      <c r="C34" s="11" t="s">
        <v>39</v>
      </c>
      <c r="D34" s="11">
        <v>150</v>
      </c>
      <c r="E34" s="11" t="s">
        <v>72</v>
      </c>
      <c r="F34" s="11" t="s">
        <v>73</v>
      </c>
      <c r="G34" s="11">
        <v>0</v>
      </c>
    </row>
    <row r="35" spans="2:7" x14ac:dyDescent="0.15">
      <c r="B35" s="11" t="s">
        <v>40</v>
      </c>
      <c r="C35" s="11" t="s">
        <v>41</v>
      </c>
      <c r="D35" s="11">
        <v>250</v>
      </c>
      <c r="E35" s="11" t="s">
        <v>74</v>
      </c>
      <c r="F35" s="11" t="s">
        <v>73</v>
      </c>
      <c r="G35" s="11">
        <v>0</v>
      </c>
    </row>
    <row r="36" spans="2:7" x14ac:dyDescent="0.15">
      <c r="B36" s="11" t="s">
        <v>42</v>
      </c>
      <c r="C36" s="11" t="s">
        <v>43</v>
      </c>
      <c r="D36" s="11">
        <v>200</v>
      </c>
      <c r="E36" s="11" t="s">
        <v>75</v>
      </c>
      <c r="F36" s="11" t="s">
        <v>73</v>
      </c>
      <c r="G36" s="11">
        <v>0</v>
      </c>
    </row>
    <row r="37" spans="2:7" x14ac:dyDescent="0.15">
      <c r="B37" s="11" t="s">
        <v>44</v>
      </c>
      <c r="C37" s="11" t="s">
        <v>45</v>
      </c>
      <c r="D37" s="11">
        <v>200</v>
      </c>
      <c r="E37" s="11" t="s">
        <v>76</v>
      </c>
      <c r="F37" s="11" t="s">
        <v>77</v>
      </c>
      <c r="G37" s="11">
        <v>100</v>
      </c>
    </row>
    <row r="38" spans="2:7" x14ac:dyDescent="0.15">
      <c r="B38" s="11" t="s">
        <v>46</v>
      </c>
      <c r="C38" s="11" t="s">
        <v>47</v>
      </c>
      <c r="D38" s="11">
        <v>200</v>
      </c>
      <c r="E38" s="11" t="s">
        <v>78</v>
      </c>
      <c r="F38" s="11" t="s">
        <v>73</v>
      </c>
      <c r="G38" s="11">
        <v>0</v>
      </c>
    </row>
    <row r="39" spans="2:7" ht="14" thickBot="1" x14ac:dyDescent="0.2">
      <c r="B39" s="12" t="s">
        <v>48</v>
      </c>
      <c r="C39" s="12" t="s">
        <v>49</v>
      </c>
      <c r="D39" s="12">
        <v>200</v>
      </c>
      <c r="E39" s="12" t="s">
        <v>79</v>
      </c>
      <c r="F39" s="12" t="s">
        <v>73</v>
      </c>
      <c r="G39" s="1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D77A4-6B30-1D46-9731-81E768596475}">
  <dimension ref="A1:H27"/>
  <sheetViews>
    <sheetView showGridLines="0" workbookViewId="0">
      <selection sqref="A1:A3"/>
    </sheetView>
  </sheetViews>
  <sheetFormatPr baseColWidth="10" defaultRowHeight="13" x14ac:dyDescent="0.15"/>
  <cols>
    <col min="1" max="1" width="2.33203125" customWidth="1"/>
    <col min="2" max="2" width="6.33203125" bestFit="1" customWidth="1"/>
    <col min="3" max="3" width="25.1640625" bestFit="1" customWidth="1"/>
    <col min="4" max="4" width="5.83203125" bestFit="1" customWidth="1"/>
    <col min="5" max="5" width="8.33203125" bestFit="1" customWidth="1"/>
    <col min="6" max="6" width="9.83203125" bestFit="1" customWidth="1"/>
    <col min="7" max="8" width="9.1640625" bestFit="1" customWidth="1"/>
  </cols>
  <sheetData>
    <row r="1" spans="1:8" x14ac:dyDescent="0.15">
      <c r="A1" s="1" t="s">
        <v>80</v>
      </c>
    </row>
    <row r="2" spans="1:8" x14ac:dyDescent="0.15">
      <c r="A2" s="1" t="s">
        <v>51</v>
      </c>
    </row>
    <row r="3" spans="1:8" x14ac:dyDescent="0.15">
      <c r="A3" s="1" t="s">
        <v>52</v>
      </c>
    </row>
    <row r="6" spans="1:8" ht="14" thickBot="1" x14ac:dyDescent="0.2">
      <c r="A6" t="s">
        <v>5</v>
      </c>
    </row>
    <row r="7" spans="1:8" x14ac:dyDescent="0.15">
      <c r="B7" s="14"/>
      <c r="C7" s="14"/>
      <c r="D7" s="14" t="s">
        <v>8</v>
      </c>
      <c r="E7" s="14" t="s">
        <v>10</v>
      </c>
      <c r="F7" s="14" t="s">
        <v>12</v>
      </c>
      <c r="G7" s="14" t="s">
        <v>14</v>
      </c>
      <c r="H7" s="14" t="s">
        <v>14</v>
      </c>
    </row>
    <row r="8" spans="1:8" ht="14" thickBot="1" x14ac:dyDescent="0.2">
      <c r="B8" s="15" t="s">
        <v>6</v>
      </c>
      <c r="C8" s="15" t="s">
        <v>7</v>
      </c>
      <c r="D8" s="15" t="s">
        <v>9</v>
      </c>
      <c r="E8" s="15" t="s">
        <v>11</v>
      </c>
      <c r="F8" s="15" t="s">
        <v>13</v>
      </c>
      <c r="G8" s="15" t="s">
        <v>15</v>
      </c>
      <c r="H8" s="15" t="s">
        <v>16</v>
      </c>
    </row>
    <row r="9" spans="1:8" x14ac:dyDescent="0.15">
      <c r="B9" s="11" t="s">
        <v>20</v>
      </c>
      <c r="C9" s="11" t="s">
        <v>21</v>
      </c>
      <c r="D9" s="11">
        <v>0</v>
      </c>
      <c r="E9" s="11">
        <v>0</v>
      </c>
      <c r="F9" s="11">
        <v>16</v>
      </c>
      <c r="G9" s="11">
        <v>1E+30</v>
      </c>
      <c r="H9" s="11">
        <v>0</v>
      </c>
    </row>
    <row r="10" spans="1:8" x14ac:dyDescent="0.15">
      <c r="B10" s="11" t="s">
        <v>22</v>
      </c>
      <c r="C10" s="11" t="s">
        <v>23</v>
      </c>
      <c r="D10" s="11">
        <v>0</v>
      </c>
      <c r="E10" s="11">
        <v>0</v>
      </c>
      <c r="F10" s="11">
        <v>18</v>
      </c>
      <c r="G10" s="11">
        <v>0</v>
      </c>
      <c r="H10" s="11">
        <v>3</v>
      </c>
    </row>
    <row r="11" spans="1:8" x14ac:dyDescent="0.15">
      <c r="B11" s="11" t="s">
        <v>24</v>
      </c>
      <c r="C11" s="11" t="s">
        <v>25</v>
      </c>
      <c r="D11" s="11">
        <v>200</v>
      </c>
      <c r="E11" s="11">
        <v>0</v>
      </c>
      <c r="F11" s="11">
        <v>11</v>
      </c>
      <c r="G11" s="11">
        <v>8</v>
      </c>
      <c r="H11" s="11">
        <v>1E+30</v>
      </c>
    </row>
    <row r="12" spans="1:8" x14ac:dyDescent="0.15">
      <c r="B12" s="11" t="s">
        <v>26</v>
      </c>
      <c r="C12" s="11" t="s">
        <v>27</v>
      </c>
      <c r="D12" s="11">
        <v>0</v>
      </c>
      <c r="E12" s="11">
        <v>4</v>
      </c>
      <c r="F12" s="11">
        <v>14</v>
      </c>
      <c r="G12" s="11">
        <v>1E+30</v>
      </c>
      <c r="H12" s="11">
        <v>4</v>
      </c>
    </row>
    <row r="13" spans="1:8" x14ac:dyDescent="0.15">
      <c r="B13" s="11" t="s">
        <v>28</v>
      </c>
      <c r="C13" s="11" t="s">
        <v>29</v>
      </c>
      <c r="D13" s="11">
        <v>200</v>
      </c>
      <c r="E13" s="11">
        <v>0</v>
      </c>
      <c r="F13" s="11">
        <v>12</v>
      </c>
      <c r="G13" s="11">
        <v>4</v>
      </c>
      <c r="H13" s="11">
        <v>1E+30</v>
      </c>
    </row>
    <row r="14" spans="1:8" x14ac:dyDescent="0.15">
      <c r="B14" s="11" t="s">
        <v>30</v>
      </c>
      <c r="C14" s="11" t="s">
        <v>31</v>
      </c>
      <c r="D14" s="11">
        <v>0</v>
      </c>
      <c r="E14" s="11">
        <v>8</v>
      </c>
      <c r="F14" s="11">
        <v>13</v>
      </c>
      <c r="G14" s="11">
        <v>1E+30</v>
      </c>
      <c r="H14" s="11">
        <v>8</v>
      </c>
    </row>
    <row r="15" spans="1:8" x14ac:dyDescent="0.15">
      <c r="B15" s="11" t="s">
        <v>32</v>
      </c>
      <c r="C15" s="11" t="s">
        <v>33</v>
      </c>
      <c r="D15" s="11">
        <v>150</v>
      </c>
      <c r="E15" s="11">
        <v>0</v>
      </c>
      <c r="F15" s="11">
        <v>13</v>
      </c>
      <c r="G15" s="11">
        <v>0</v>
      </c>
      <c r="H15" s="11">
        <v>1E+30</v>
      </c>
    </row>
    <row r="16" spans="1:8" x14ac:dyDescent="0.15">
      <c r="B16" s="11" t="s">
        <v>34</v>
      </c>
      <c r="C16" s="11" t="s">
        <v>35</v>
      </c>
      <c r="D16" s="11">
        <v>50</v>
      </c>
      <c r="E16" s="11">
        <v>0</v>
      </c>
      <c r="F16" s="11">
        <v>15</v>
      </c>
      <c r="G16" s="11">
        <v>3</v>
      </c>
      <c r="H16" s="11">
        <v>0</v>
      </c>
    </row>
    <row r="17" spans="1:8" ht="14" thickBot="1" x14ac:dyDescent="0.2">
      <c r="B17" s="12" t="s">
        <v>36</v>
      </c>
      <c r="C17" s="12" t="s">
        <v>37</v>
      </c>
      <c r="D17" s="12">
        <v>0</v>
      </c>
      <c r="E17" s="12">
        <v>9</v>
      </c>
      <c r="F17" s="12">
        <v>17</v>
      </c>
      <c r="G17" s="12">
        <v>1E+30</v>
      </c>
      <c r="H17" s="12">
        <v>9</v>
      </c>
    </row>
    <row r="19" spans="1:8" ht="14" thickBot="1" x14ac:dyDescent="0.2">
      <c r="A19" t="s">
        <v>2</v>
      </c>
    </row>
    <row r="20" spans="1:8" x14ac:dyDescent="0.15">
      <c r="B20" s="14"/>
      <c r="C20" s="14"/>
      <c r="D20" s="14" t="s">
        <v>8</v>
      </c>
      <c r="E20" s="14" t="s">
        <v>17</v>
      </c>
      <c r="F20" s="14" t="s">
        <v>1</v>
      </c>
      <c r="G20" s="14" t="s">
        <v>14</v>
      </c>
      <c r="H20" s="14" t="s">
        <v>14</v>
      </c>
    </row>
    <row r="21" spans="1:8" ht="14" thickBot="1" x14ac:dyDescent="0.2">
      <c r="B21" s="15" t="s">
        <v>6</v>
      </c>
      <c r="C21" s="15" t="s">
        <v>7</v>
      </c>
      <c r="D21" s="15" t="s">
        <v>9</v>
      </c>
      <c r="E21" s="15" t="s">
        <v>18</v>
      </c>
      <c r="F21" s="15" t="s">
        <v>19</v>
      </c>
      <c r="G21" s="15" t="s">
        <v>15</v>
      </c>
      <c r="H21" s="15" t="s">
        <v>16</v>
      </c>
    </row>
    <row r="22" spans="1:8" x14ac:dyDescent="0.15">
      <c r="B22" s="11" t="s">
        <v>38</v>
      </c>
      <c r="C22" s="11" t="s">
        <v>39</v>
      </c>
      <c r="D22" s="11">
        <v>150</v>
      </c>
      <c r="E22" s="11">
        <v>16</v>
      </c>
      <c r="F22" s="11">
        <v>150</v>
      </c>
      <c r="G22" s="11">
        <v>50</v>
      </c>
      <c r="H22" s="11">
        <v>0</v>
      </c>
    </row>
    <row r="23" spans="1:8" x14ac:dyDescent="0.15">
      <c r="B23" s="11" t="s">
        <v>40</v>
      </c>
      <c r="C23" s="11" t="s">
        <v>41</v>
      </c>
      <c r="D23" s="11">
        <v>250</v>
      </c>
      <c r="E23" s="11">
        <v>18</v>
      </c>
      <c r="F23" s="11">
        <v>250</v>
      </c>
      <c r="G23" s="11">
        <v>100</v>
      </c>
      <c r="H23" s="11">
        <v>0</v>
      </c>
    </row>
    <row r="24" spans="1:8" x14ac:dyDescent="0.15">
      <c r="B24" s="11" t="s">
        <v>42</v>
      </c>
      <c r="C24" s="11" t="s">
        <v>43</v>
      </c>
      <c r="D24" s="11">
        <v>200</v>
      </c>
      <c r="E24" s="11">
        <v>11</v>
      </c>
      <c r="F24" s="11">
        <v>200</v>
      </c>
      <c r="G24" s="11">
        <v>100</v>
      </c>
      <c r="H24" s="11">
        <v>200</v>
      </c>
    </row>
    <row r="25" spans="1:8" x14ac:dyDescent="0.15">
      <c r="B25" s="11" t="s">
        <v>44</v>
      </c>
      <c r="C25" s="11" t="s">
        <v>45</v>
      </c>
      <c r="D25" s="11">
        <v>200</v>
      </c>
      <c r="E25" s="11">
        <v>0</v>
      </c>
      <c r="F25" s="11">
        <v>300</v>
      </c>
      <c r="G25" s="11">
        <v>1E+30</v>
      </c>
      <c r="H25" s="11">
        <v>100</v>
      </c>
    </row>
    <row r="26" spans="1:8" x14ac:dyDescent="0.15">
      <c r="B26" s="11" t="s">
        <v>46</v>
      </c>
      <c r="C26" s="11" t="s">
        <v>47</v>
      </c>
      <c r="D26" s="11">
        <v>200</v>
      </c>
      <c r="E26" s="11">
        <v>-6</v>
      </c>
      <c r="F26" s="11">
        <v>200</v>
      </c>
      <c r="G26" s="11">
        <v>0</v>
      </c>
      <c r="H26" s="11">
        <v>100</v>
      </c>
    </row>
    <row r="27" spans="1:8" ht="14" thickBot="1" x14ac:dyDescent="0.2">
      <c r="B27" s="12" t="s">
        <v>48</v>
      </c>
      <c r="C27" s="12" t="s">
        <v>49</v>
      </c>
      <c r="D27" s="12">
        <v>200</v>
      </c>
      <c r="E27" s="12">
        <v>-3</v>
      </c>
      <c r="F27" s="12">
        <v>200</v>
      </c>
      <c r="G27" s="12">
        <v>0</v>
      </c>
      <c r="H27" s="12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32"/>
  <sheetViews>
    <sheetView tabSelected="1" zoomScale="150" zoomScaleNormal="166" zoomScalePageLayoutView="166" workbookViewId="0">
      <selection activeCell="G8" sqref="G8"/>
    </sheetView>
  </sheetViews>
  <sheetFormatPr baseColWidth="10" defaultColWidth="8.83203125" defaultRowHeight="13" x14ac:dyDescent="0.15"/>
  <cols>
    <col min="1" max="1" width="8.83203125" customWidth="1"/>
    <col min="2" max="2" width="17.1640625" customWidth="1"/>
    <col min="6" max="6" width="10.33203125" customWidth="1"/>
    <col min="7" max="7" width="15.83203125" customWidth="1"/>
    <col min="8" max="8" width="17.83203125" customWidth="1"/>
    <col min="10" max="10" width="10.5" customWidth="1"/>
  </cols>
  <sheetData>
    <row r="1" spans="1:10" x14ac:dyDescent="0.15">
      <c r="A1" s="1" t="s">
        <v>87</v>
      </c>
      <c r="D1" s="5" t="s">
        <v>113</v>
      </c>
      <c r="F1">
        <f>SUMPRODUCT(C14:F16,C22:F24)</f>
        <v>41726.000000000007</v>
      </c>
    </row>
    <row r="2" spans="1:10" x14ac:dyDescent="0.15">
      <c r="A2" s="1"/>
    </row>
    <row r="3" spans="1:10" x14ac:dyDescent="0.15">
      <c r="D3" s="7" t="s">
        <v>86</v>
      </c>
    </row>
    <row r="4" spans="1:10" x14ac:dyDescent="0.15">
      <c r="A4" s="3"/>
      <c r="B4" s="10" t="s">
        <v>81</v>
      </c>
      <c r="C4" s="21" t="s">
        <v>82</v>
      </c>
      <c r="D4" s="21" t="s">
        <v>83</v>
      </c>
      <c r="E4" s="21" t="s">
        <v>84</v>
      </c>
      <c r="F4" s="21" t="s">
        <v>85</v>
      </c>
      <c r="G4" s="26" t="s">
        <v>88</v>
      </c>
      <c r="H4" s="21" t="s">
        <v>92</v>
      </c>
      <c r="I4" s="21" t="s">
        <v>93</v>
      </c>
      <c r="J4" s="21" t="s">
        <v>94</v>
      </c>
    </row>
    <row r="5" spans="1:10" x14ac:dyDescent="0.15">
      <c r="A5" s="5" t="s">
        <v>4</v>
      </c>
      <c r="B5" s="4">
        <v>1</v>
      </c>
      <c r="C5" s="29">
        <v>7</v>
      </c>
      <c r="D5" s="29">
        <v>9</v>
      </c>
      <c r="E5" s="29">
        <v>10</v>
      </c>
      <c r="F5" s="30">
        <v>12</v>
      </c>
      <c r="G5" s="27">
        <v>62</v>
      </c>
      <c r="H5" s="22">
        <v>0.09</v>
      </c>
      <c r="I5" s="22">
        <v>0.06</v>
      </c>
      <c r="J5" s="23">
        <v>220</v>
      </c>
    </row>
    <row r="6" spans="1:10" x14ac:dyDescent="0.15">
      <c r="B6" s="4">
        <v>2</v>
      </c>
      <c r="C6" s="31">
        <v>9</v>
      </c>
      <c r="D6" s="31">
        <v>7</v>
      </c>
      <c r="E6" s="31">
        <v>8</v>
      </c>
      <c r="F6" s="24">
        <v>12</v>
      </c>
      <c r="G6" s="28">
        <v>67</v>
      </c>
      <c r="H6" s="25">
        <v>0.05</v>
      </c>
      <c r="I6" s="22">
        <v>0.04</v>
      </c>
      <c r="J6" s="24">
        <v>170</v>
      </c>
    </row>
    <row r="7" spans="1:10" x14ac:dyDescent="0.15">
      <c r="B7" s="4">
        <v>3</v>
      </c>
      <c r="C7" s="31">
        <v>11</v>
      </c>
      <c r="D7" s="31">
        <v>14</v>
      </c>
      <c r="E7" s="31">
        <v>5</v>
      </c>
      <c r="F7" s="24">
        <v>7</v>
      </c>
      <c r="G7" s="28">
        <v>75</v>
      </c>
      <c r="H7" s="22">
        <v>0.04</v>
      </c>
      <c r="I7" s="22">
        <v>0.03</v>
      </c>
      <c r="J7" s="24">
        <v>280</v>
      </c>
    </row>
    <row r="8" spans="1:10" x14ac:dyDescent="0.15">
      <c r="B8" s="20" t="s">
        <v>89</v>
      </c>
      <c r="C8" s="32">
        <v>0.06</v>
      </c>
      <c r="D8" s="32">
        <v>0.05</v>
      </c>
      <c r="E8" s="32">
        <v>0.05</v>
      </c>
      <c r="F8" s="33">
        <v>0.06</v>
      </c>
      <c r="G8" s="18"/>
    </row>
    <row r="9" spans="1:10" ht="14" thickBot="1" x14ac:dyDescent="0.2">
      <c r="B9" s="20" t="s">
        <v>90</v>
      </c>
      <c r="C9" s="47">
        <v>0.05</v>
      </c>
      <c r="D9" s="47">
        <v>0.05</v>
      </c>
      <c r="E9" s="47">
        <v>7.0000000000000007E-2</v>
      </c>
      <c r="F9" s="48">
        <v>0.06</v>
      </c>
      <c r="G9" s="18"/>
    </row>
    <row r="10" spans="1:10" x14ac:dyDescent="0.15">
      <c r="B10" s="20" t="s">
        <v>91</v>
      </c>
      <c r="C10" s="45">
        <v>110</v>
      </c>
      <c r="D10" s="45">
        <v>160</v>
      </c>
      <c r="E10" s="45">
        <v>90</v>
      </c>
      <c r="F10" s="46">
        <v>180</v>
      </c>
      <c r="G10" s="18"/>
    </row>
    <row r="11" spans="1:10" x14ac:dyDescent="0.15">
      <c r="B11" s="4"/>
      <c r="C11" s="19"/>
      <c r="D11" s="19"/>
      <c r="E11" s="19"/>
      <c r="F11" s="18"/>
      <c r="G11" s="18"/>
    </row>
    <row r="12" spans="1:10" x14ac:dyDescent="0.15">
      <c r="B12" s="34" t="s">
        <v>95</v>
      </c>
      <c r="C12" s="34"/>
      <c r="D12" s="34"/>
      <c r="E12" s="34"/>
      <c r="F12" s="34"/>
      <c r="G12" s="18"/>
    </row>
    <row r="13" spans="1:10" x14ac:dyDescent="0.15">
      <c r="B13" s="4"/>
      <c r="C13" s="21" t="s">
        <v>96</v>
      </c>
      <c r="D13" s="21" t="s">
        <v>97</v>
      </c>
      <c r="E13" s="21" t="s">
        <v>98</v>
      </c>
      <c r="F13" s="35" t="s">
        <v>99</v>
      </c>
      <c r="G13" s="18"/>
    </row>
    <row r="14" spans="1:10" x14ac:dyDescent="0.15">
      <c r="B14" s="37" t="s">
        <v>100</v>
      </c>
      <c r="C14" s="29">
        <f>SUM(G5+C5)</f>
        <v>69</v>
      </c>
      <c r="D14" s="29">
        <f>SUM(G5+D5)</f>
        <v>71</v>
      </c>
      <c r="E14" s="29">
        <f>SUM(G5+E5)</f>
        <v>72</v>
      </c>
      <c r="F14" s="36">
        <f>SUM(G5+F5)</f>
        <v>74</v>
      </c>
      <c r="G14" s="18"/>
    </row>
    <row r="15" spans="1:10" x14ac:dyDescent="0.15">
      <c r="B15" s="37" t="s">
        <v>101</v>
      </c>
      <c r="C15" s="31">
        <f>+SUM(G6+C6)</f>
        <v>76</v>
      </c>
      <c r="D15" s="31">
        <f>SUM(G6+D6)</f>
        <v>74</v>
      </c>
      <c r="E15" s="31">
        <f>SUM(G6+E6)</f>
        <v>75</v>
      </c>
      <c r="F15" s="31">
        <f>+SUM(G6+F6)</f>
        <v>79</v>
      </c>
      <c r="G15" s="18"/>
    </row>
    <row r="16" spans="1:10" x14ac:dyDescent="0.15">
      <c r="B16" s="37" t="s">
        <v>102</v>
      </c>
      <c r="C16" s="31">
        <f>SUM(G7+C7)</f>
        <v>86</v>
      </c>
      <c r="D16" s="31">
        <f>SUM(G7+D7)</f>
        <v>89</v>
      </c>
      <c r="E16" s="31">
        <f>+SUM(G7+E7)</f>
        <v>80</v>
      </c>
      <c r="F16" s="24">
        <f>SUM(G7+F7)</f>
        <v>82</v>
      </c>
      <c r="G16" s="18"/>
    </row>
    <row r="17" spans="1:8" x14ac:dyDescent="0.15">
      <c r="B17" s="4"/>
      <c r="C17" s="19"/>
      <c r="D17" s="19"/>
      <c r="E17" s="19"/>
      <c r="F17" s="18"/>
      <c r="G17" s="18"/>
    </row>
    <row r="18" spans="1:8" x14ac:dyDescent="0.15">
      <c r="B18" s="4"/>
      <c r="C18" s="19"/>
      <c r="D18" s="19"/>
      <c r="E18" s="19"/>
      <c r="F18" s="18"/>
      <c r="G18" s="18"/>
    </row>
    <row r="19" spans="1:8" x14ac:dyDescent="0.15">
      <c r="B19" s="38" t="s">
        <v>103</v>
      </c>
    </row>
    <row r="20" spans="1:8" x14ac:dyDescent="0.15">
      <c r="D20" s="7" t="s">
        <v>0</v>
      </c>
      <c r="F20" s="16" t="s">
        <v>104</v>
      </c>
      <c r="G20" s="16"/>
      <c r="H20" s="16"/>
    </row>
    <row r="21" spans="1:8" x14ac:dyDescent="0.15">
      <c r="A21" s="3"/>
      <c r="B21" s="10"/>
      <c r="C21" s="6" t="s">
        <v>96</v>
      </c>
      <c r="D21" s="6" t="s">
        <v>97</v>
      </c>
      <c r="E21" s="6" t="s">
        <v>98</v>
      </c>
      <c r="F21" s="8" t="s">
        <v>99</v>
      </c>
      <c r="G21" s="8" t="s">
        <v>105</v>
      </c>
      <c r="H21" s="8" t="s">
        <v>106</v>
      </c>
    </row>
    <row r="22" spans="1:8" x14ac:dyDescent="0.15">
      <c r="A22" s="5" t="s">
        <v>4</v>
      </c>
      <c r="B22" s="37" t="s">
        <v>100</v>
      </c>
      <c r="C22" s="39">
        <v>41.999999999999922</v>
      </c>
      <c r="D22" s="39">
        <v>0</v>
      </c>
      <c r="E22" s="39">
        <v>17.999999999999986</v>
      </c>
      <c r="F22" s="39">
        <v>72</v>
      </c>
      <c r="G22" s="40">
        <v>220</v>
      </c>
      <c r="H22" s="40">
        <f>SUM(C22:F22)</f>
        <v>131.99999999999991</v>
      </c>
    </row>
    <row r="23" spans="1:8" x14ac:dyDescent="0.15">
      <c r="B23" s="37" t="s">
        <v>101</v>
      </c>
      <c r="C23" s="39">
        <v>10.000000000000256</v>
      </c>
      <c r="D23" s="39">
        <v>159.99999999999974</v>
      </c>
      <c r="E23" s="39">
        <v>0</v>
      </c>
      <c r="F23" s="39">
        <v>0</v>
      </c>
      <c r="G23" s="40">
        <v>170</v>
      </c>
      <c r="H23" s="40">
        <f>SUM(C23:F23)</f>
        <v>170</v>
      </c>
    </row>
    <row r="24" spans="1:8" x14ac:dyDescent="0.15">
      <c r="B24" s="37" t="s">
        <v>102</v>
      </c>
      <c r="C24" s="39">
        <v>57.999999999999822</v>
      </c>
      <c r="D24" s="39">
        <v>2.7711166694643907E-13</v>
      </c>
      <c r="E24" s="39">
        <v>72.000000000000014</v>
      </c>
      <c r="F24" s="39">
        <v>108</v>
      </c>
      <c r="G24" s="40">
        <v>280</v>
      </c>
      <c r="H24" s="40">
        <f>SUM(C24:F24)</f>
        <v>238.00000000000011</v>
      </c>
    </row>
    <row r="25" spans="1:8" x14ac:dyDescent="0.15">
      <c r="A25" s="17" t="s">
        <v>3</v>
      </c>
      <c r="B25" s="41" t="s">
        <v>107</v>
      </c>
      <c r="C25" s="24">
        <v>110</v>
      </c>
      <c r="D25" s="24">
        <v>160</v>
      </c>
      <c r="E25" s="24">
        <v>90</v>
      </c>
      <c r="F25" s="31">
        <v>180</v>
      </c>
      <c r="G25" s="2"/>
    </row>
    <row r="26" spans="1:8" x14ac:dyDescent="0.15">
      <c r="A26" s="17"/>
      <c r="B26" s="41" t="s">
        <v>108</v>
      </c>
      <c r="C26" s="35">
        <f>SUM(C22:C24)</f>
        <v>110</v>
      </c>
      <c r="D26" s="24">
        <f>SUM(D22:D24)</f>
        <v>160.00000000000003</v>
      </c>
      <c r="E26" s="24">
        <f>SUM(E22:E24)</f>
        <v>90</v>
      </c>
      <c r="F26" s="31">
        <f>SUM(F22:F24)</f>
        <v>180</v>
      </c>
      <c r="G26" s="2"/>
    </row>
    <row r="27" spans="1:8" x14ac:dyDescent="0.15">
      <c r="A27" s="17"/>
      <c r="B27" s="41" t="s">
        <v>109</v>
      </c>
      <c r="C27" s="24">
        <f>C8*C25</f>
        <v>6.6</v>
      </c>
      <c r="D27" s="24">
        <f>D8*D25</f>
        <v>8</v>
      </c>
      <c r="E27" s="24">
        <f>E8*E25</f>
        <v>4.5</v>
      </c>
      <c r="F27" s="31">
        <f>F8*F25</f>
        <v>10.799999999999999</v>
      </c>
      <c r="G27" s="2"/>
    </row>
    <row r="28" spans="1:8" x14ac:dyDescent="0.15">
      <c r="A28" s="9"/>
      <c r="B28" s="42" t="s">
        <v>110</v>
      </c>
      <c r="C28" s="24">
        <f>SUMPRODUCT(H5:H7,C22:C24)</f>
        <v>6.5999999999999979</v>
      </c>
      <c r="D28" s="24">
        <f>SUMPRODUCT(H5:H7,D22:D24)</f>
        <v>7.9999999999999982</v>
      </c>
      <c r="E28" s="24">
        <f>SUMPRODUCT(H5:H7,E22:E24)</f>
        <v>4.4999999999999991</v>
      </c>
      <c r="F28" s="23">
        <f>SUMPRODUCT(H5:H7,F22:F24)</f>
        <v>10.8</v>
      </c>
    </row>
    <row r="29" spans="1:8" x14ac:dyDescent="0.15">
      <c r="B29" s="43" t="s">
        <v>111</v>
      </c>
      <c r="C29" s="23">
        <f>C9*C25</f>
        <v>5.5</v>
      </c>
      <c r="D29" s="23">
        <f>D9*D25</f>
        <v>8</v>
      </c>
      <c r="E29" s="23">
        <f>E9*E25</f>
        <v>6.3000000000000007</v>
      </c>
      <c r="F29" s="23">
        <f>F9*F25</f>
        <v>10.799999999999999</v>
      </c>
    </row>
    <row r="30" spans="1:8" x14ac:dyDescent="0.15">
      <c r="B30" s="43" t="s">
        <v>112</v>
      </c>
      <c r="C30" s="23">
        <f>SUMPRODUCT(I5:I7,C22:C24)</f>
        <v>4.66</v>
      </c>
      <c r="D30" s="23">
        <f>SUMPRODUCT(I5:I7,D22:D24)</f>
        <v>6.3999999999999977</v>
      </c>
      <c r="E30" s="23">
        <f>SUMPRODUCT(I5:I7,E22:E24)</f>
        <v>3.2399999999999993</v>
      </c>
      <c r="F30" s="23">
        <f>SUMPRODUCT(I5:I7,F22:F24)</f>
        <v>7.5600000000000005</v>
      </c>
    </row>
    <row r="31" spans="1:8" x14ac:dyDescent="0.15">
      <c r="C31" s="5"/>
    </row>
    <row r="32" spans="1:8" x14ac:dyDescent="0.15">
      <c r="B32" s="44" t="s">
        <v>114</v>
      </c>
      <c r="C32">
        <f>SUMPRODUCT(C22:F24,C14:F16)</f>
        <v>41726.000000000007</v>
      </c>
    </row>
  </sheetData>
  <mergeCells count="3">
    <mergeCell ref="F20:H20"/>
    <mergeCell ref="A25:A27"/>
    <mergeCell ref="B12:F12"/>
  </mergeCells>
  <phoneticPr fontId="0" type="noConversion"/>
  <printOptions gridLines="1" gridLinesSet="0"/>
  <pageMargins left="0.75" right="0.75" top="1" bottom="1" header="0.5" footer="0.5"/>
  <pageSetup orientation="portrait" verticalDpi="1200" r:id="rId1"/>
  <headerFooter alignWithMargins="0">
    <oddHeader>&amp;A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Answer Report 1</vt:lpstr>
      <vt:lpstr>Sensitivity Report 1</vt:lpstr>
      <vt:lpstr>Model Setup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Authorized Gateway Customer</dc:creator>
  <cp:lastModifiedBy>doublerbros18@gmail.com</cp:lastModifiedBy>
  <dcterms:created xsi:type="dcterms:W3CDTF">1997-02-27T17:30:42Z</dcterms:created>
  <dcterms:modified xsi:type="dcterms:W3CDTF">2023-08-01T02:37:24Z</dcterms:modified>
</cp:coreProperties>
</file>